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ve\Dropbox\Parvez\Scloudx\NOC\"/>
    </mc:Choice>
  </mc:AlternateContent>
  <xr:revisionPtr revIDLastSave="0" documentId="8_{2F59023D-E229-4CA4-9DCC-8E8F195A15C8}" xr6:coauthVersionLast="47" xr6:coauthVersionMax="47" xr10:uidLastSave="{00000000-0000-0000-0000-000000000000}"/>
  <bookViews>
    <workbookView xWindow="-110" yWindow="-110" windowWidth="19420" windowHeight="11500" xr2:uid="{2DB58C20-8F8C-4373-8A1E-753759E9AF7E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</calcChain>
</file>

<file path=xl/sharedStrings.xml><?xml version="1.0" encoding="utf-8"?>
<sst xmlns="http://schemas.openxmlformats.org/spreadsheetml/2006/main" count="39" uniqueCount="34">
  <si>
    <t>Circuit ID</t>
  </si>
  <si>
    <t>Status</t>
  </si>
  <si>
    <t>Location</t>
  </si>
  <si>
    <t>Site Name</t>
  </si>
  <si>
    <t xml:space="preserve">End User </t>
  </si>
  <si>
    <t xml:space="preserve">Customer </t>
  </si>
  <si>
    <t>Customer ticket No.</t>
  </si>
  <si>
    <t>Supplier Name</t>
  </si>
  <si>
    <t>Supplier Ticket No.</t>
  </si>
  <si>
    <t>Issue start Date &amp; Time (IST)</t>
  </si>
  <si>
    <t>Issue Reporetd to Supplier</t>
  </si>
  <si>
    <t>Issue reported resolved to Aryaka</t>
  </si>
  <si>
    <t>Overall Down Time</t>
  </si>
  <si>
    <t>Reason</t>
  </si>
  <si>
    <t>367- BRAZIL - IP TRANSIT</t>
  </si>
  <si>
    <t>Closed</t>
  </si>
  <si>
    <t>Ruta Nacional No.7, Km 660 Justo Daract, San Luis, Argentina 5738</t>
  </si>
  <si>
    <t>Argentina</t>
  </si>
  <si>
    <t>SBD</t>
  </si>
  <si>
    <t>Aryaka</t>
  </si>
  <si>
    <t>Ultranet</t>
  </si>
  <si>
    <t>No issue found from Supplier end. Suspected it to be an issue on site as per Aryaka.</t>
  </si>
  <si>
    <t>95/KEGS/034190</t>
  </si>
  <si>
    <t>106 Lowland St.Holliston MA 01746 United States of America</t>
  </si>
  <si>
    <t>St. Holliston, MA, USA</t>
  </si>
  <si>
    <t>Verizon</t>
  </si>
  <si>
    <t>Problem found in CPE. Resolved by customer.</t>
  </si>
  <si>
    <t>3-001113196</t>
  </si>
  <si>
    <t>Sungard 11085 Sun Center Drive Ranch Cordova, CA</t>
  </si>
  <si>
    <t>Ranch Cordova, CA, USA</t>
  </si>
  <si>
    <t>Navis</t>
  </si>
  <si>
    <t>Cogent Co</t>
  </si>
  <si>
    <t>HD302474620/HD302481005</t>
  </si>
  <si>
    <t>Please check with client the utilization is crossing 500MBPS limit.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</si>
</sst>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22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5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22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3128-CF67-4C76-B06A-A925DF36FF3E}">
  <dimension ref="A2:N5"/>
  <sheetViews>
    <sheetView tabSelected="1" workbookViewId="0">
      <selection activeCell="C8" sqref="C8"/>
    </sheetView>
  </sheetViews>
  <sheetFormatPr defaultRowHeight="14.5" x14ac:dyDescent="0.35"/>
  <cols>
    <col min="1" max="1" width="26.1796875" customWidth="1"/>
    <col min="2" max="2" width="8.7265625" customWidth="1"/>
    <col min="3" max="3" width="30.453125" bestFit="1" customWidth="1"/>
    <col min="4" max="4" width="12.7265625" customWidth="1"/>
    <col min="6" max="6" width="9.453125" bestFit="1" customWidth="1"/>
    <col min="7" max="7" width="17.7265625" bestFit="1" customWidth="1"/>
    <col min="8" max="8" width="13.08984375" bestFit="1" customWidth="1"/>
    <col min="9" max="9" width="25" bestFit="1" customWidth="1"/>
    <col min="10" max="10" width="24.90625" bestFit="1" customWidth="1"/>
    <col min="11" max="11" width="23.1796875" bestFit="1" customWidth="1"/>
    <col min="12" max="12" width="29.54296875" bestFit="1" customWidth="1"/>
    <col min="13" max="13" width="16.7265625" bestFit="1" customWidth="1"/>
    <col min="14" max="14" width="44.08984375" customWidth="1"/>
  </cols>
  <sheetData>
    <row r="2" spans="1:14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</row>
    <row r="3" spans="1:14" ht="29" x14ac:dyDescent="0.35">
      <c r="A3" s="3" t="s">
        <v>14</v>
      </c>
      <c r="B3" s="3" t="s">
        <v>15</v>
      </c>
      <c r="C3" s="4" t="s">
        <v>16</v>
      </c>
      <c r="D3" s="4" t="s">
        <v>17</v>
      </c>
      <c r="E3" s="3" t="s">
        <v>18</v>
      </c>
      <c r="F3" s="3" t="s">
        <v>19</v>
      </c>
      <c r="G3" s="3">
        <v>730618</v>
      </c>
      <c r="H3" s="3" t="s">
        <v>20</v>
      </c>
      <c r="I3" s="5">
        <v>202275989</v>
      </c>
      <c r="J3" s="6">
        <v>44875.331944444442</v>
      </c>
      <c r="K3" s="6">
        <v>44875.345138888886</v>
      </c>
      <c r="L3" s="6">
        <v>44875.792361111111</v>
      </c>
      <c r="M3" s="7">
        <f>L3-J3</f>
        <v>0.46041666666860692</v>
      </c>
      <c r="N3" s="8" t="s">
        <v>21</v>
      </c>
    </row>
    <row r="4" spans="1:14" ht="29" x14ac:dyDescent="0.35">
      <c r="A4" s="9" t="s">
        <v>22</v>
      </c>
      <c r="B4" s="10" t="s">
        <v>15</v>
      </c>
      <c r="C4" s="11" t="s">
        <v>23</v>
      </c>
      <c r="D4" s="11" t="s">
        <v>24</v>
      </c>
      <c r="E4" s="10" t="s">
        <v>18</v>
      </c>
      <c r="F4" s="10" t="s">
        <v>19</v>
      </c>
      <c r="G4" s="10">
        <v>726674</v>
      </c>
      <c r="H4" s="10" t="s">
        <v>25</v>
      </c>
      <c r="I4" s="12">
        <v>2022102720111</v>
      </c>
      <c r="J4" s="13">
        <v>44861.897222222222</v>
      </c>
      <c r="K4" s="13">
        <v>44861.96597222222</v>
      </c>
      <c r="L4" s="13">
        <v>44862.484027777777</v>
      </c>
      <c r="M4" s="14">
        <f>L4-J4</f>
        <v>0.58680555555474712</v>
      </c>
      <c r="N4" s="8" t="s">
        <v>26</v>
      </c>
    </row>
    <row r="5" spans="1:14" ht="43.5" x14ac:dyDescent="0.35">
      <c r="A5" s="10" t="s">
        <v>27</v>
      </c>
      <c r="B5" s="10" t="s">
        <v>15</v>
      </c>
      <c r="C5" s="11" t="s">
        <v>28</v>
      </c>
      <c r="D5" s="11" t="s">
        <v>29</v>
      </c>
      <c r="E5" s="10" t="s">
        <v>30</v>
      </c>
      <c r="F5" s="10" t="s">
        <v>19</v>
      </c>
      <c r="G5" s="10">
        <v>729178</v>
      </c>
      <c r="H5" s="10" t="s">
        <v>31</v>
      </c>
      <c r="I5" s="10" t="s">
        <v>32</v>
      </c>
      <c r="J5" s="13">
        <v>44874.540972222225</v>
      </c>
      <c r="K5" s="13">
        <v>44874.559027777781</v>
      </c>
      <c r="L5" s="13">
        <v>44874.995833333334</v>
      </c>
      <c r="M5" s="14">
        <f>L5-J5</f>
        <v>0.45486111110949423</v>
      </c>
      <c r="N5" s="8" t="s">
        <v>33</v>
      </c>
    </row>
  </sheetData>
  <conditionalFormatting sqref="M3:M5">
    <cfRule type="cellIs" dxfId="0" priority="1" operator="greaterThan">
      <formula>0.166666666666667</formula>
    </cfRule>
  </conditionalFormatting>
  <dataValidations count="1">
    <dataValidation type="list" allowBlank="1" showInputMessage="1" showErrorMessage="1" sqref="B3:B5" xr:uid="{CF2F3C43-DF45-48D1-80B3-FECFE1CCDB40}">
      <formula1>"Open,Closed"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Parvez Lakhani</dc:creator>
  <cp:lastModifiedBy>Parvez Lakhani</cp:lastModifiedBy>
  <dcterms:created xsi:type="dcterms:W3CDTF">2023-01-02T18:46:23Z</dcterms:created>
  <dcterms:modified xsi:type="dcterms:W3CDTF">2023-01-02T18:47:08Z</dcterms:modified>
</cp:coreProperties>
</file>